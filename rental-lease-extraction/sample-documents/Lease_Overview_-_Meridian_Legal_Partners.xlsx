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se Overvie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<sst xmlns="http://schemas.openxmlformats.org/spreadsheetml/2006/main" count="78" uniqueCount="78">
  <si>
    <t xml:space="preserve">LEASE OVERVIEW</t>
  </si>
  <si>
    <t xml:space="preserve">66 Wellington Street West, Suite 2200, Toronto</t>
  </si>
  <si>
    <t xml:space="preserve">PREMISES &amp; TERM</t>
  </si>
  <si>
    <t xml:space="preserve">Suite / Floor</t>
  </si>
  <si>
    <t xml:space="preserve">Suite 2200, 22nd Floor</t>
  </si>
  <si>
    <t xml:space="preserve">Premises Type</t>
  </si>
  <si>
    <t xml:space="preserve">Office</t>
  </si>
  <si>
    <t xml:space="preserve">Usable Area</t>
  </si>
  <si>
    <t xml:space="preserve">18,500 sf</t>
  </si>
  <si>
    <t xml:space="preserve">Rentable Area</t>
  </si>
  <si>
    <t xml:space="preserve">20,720 sf (12% gross-up)</t>
  </si>
  <si>
    <t xml:space="preserve">Lease Term</t>
  </si>
  <si>
    <t xml:space="preserve">Sep. 1, 2026 – Aug. 31, 2036 (10 yrs)</t>
  </si>
  <si>
    <t xml:space="preserve">Possession Date</t>
  </si>
  <si>
    <t xml:space="preserve">Mar. 1, 2026</t>
  </si>
  <si>
    <t xml:space="preserve">Commencement Date</t>
  </si>
  <si>
    <t xml:space="preserve">Sep. 1, 2026</t>
  </si>
  <si>
    <t xml:space="preserve">Fixturing Period</t>
  </si>
  <si>
    <t xml:space="preserve">6 months, Landlord provides utilities</t>
  </si>
  <si>
    <t xml:space="preserve">RENT</t>
  </si>
  <si>
    <t xml:space="preserve">Type of Lease</t>
  </si>
  <si>
    <t xml:space="preserve">Net</t>
  </si>
  <si>
    <t xml:space="preserve">Free Rent</t>
  </si>
  <si>
    <t xml:space="preserve">6 months (Sep. 2026–Feb. 2027), Basic Rent only</t>
  </si>
  <si>
    <t xml:space="preserve">Tenant Allowance (TI)</t>
  </si>
  <si>
    <t xml:space="preserve">$65.00/sf rentable</t>
  </si>
  <si>
    <t xml:space="preserve">Security Deposit</t>
  </si>
  <si>
    <t xml:space="preserve">N/A — LC of $250,000, reducing 20%/yr after Yr 5</t>
  </si>
  <si>
    <t xml:space="preserve">Year</t>
  </si>
  <si>
    <t xml:space="preserve">From – To</t>
  </si>
  <si>
    <t xml:space="preserve">Rate/SF</t>
  </si>
  <si>
    <t xml:space="preserve">Annual</t>
  </si>
  <si>
    <t xml:space="preserve">Sep. 1, 2026 – Aug. 31, 2027</t>
  </si>
  <si>
    <t xml:space="preserve">Sep. 1, 2027 – Aug. 31, 2028</t>
  </si>
  <si>
    <t xml:space="preserve">Sep. 1, 2028 – Aug. 31, 2029</t>
  </si>
  <si>
    <t xml:space="preserve">Sep. 1, 2029 – Aug. 31, 2030</t>
  </si>
  <si>
    <t xml:space="preserve">Sep. 1, 2030 – Aug. 31, 2031</t>
  </si>
  <si>
    <t xml:space="preserve">Annual Rent = Rate/SF × Rentable Area (sample figures).</t>
  </si>
  <si>
    <t xml:space="preserve">OPERATING COSTS</t>
  </si>
  <si>
    <t xml:space="preserve">Operating Costs Est.</t>
  </si>
  <si>
    <t xml:space="preserve">$22.00/sf (2026)</t>
  </si>
  <si>
    <t xml:space="preserve">Realty Taxes Est.</t>
  </si>
  <si>
    <t xml:space="preserve">$13.75/sf (2026)</t>
  </si>
  <si>
    <t xml:space="preserve">Admin Fee</t>
  </si>
  <si>
    <t xml:space="preserve">15% of OPEX &amp; Taxes</t>
  </si>
  <si>
    <t xml:space="preserve">Utilities</t>
  </si>
  <si>
    <t xml:space="preserve">Included in OPEX</t>
  </si>
  <si>
    <t xml:space="preserve">Parking</t>
  </si>
  <si>
    <t xml:space="preserve">10 reserved @ $375/mo + tax, plus visitor parking</t>
  </si>
  <si>
    <t xml:space="preserve">RIGHTS &amp; RENEWAL</t>
  </si>
  <si>
    <t xml:space="preserve">Permitted Use</t>
  </si>
  <si>
    <t xml:space="preserve">General office use for the practice of law and related services</t>
  </si>
  <si>
    <t xml:space="preserve">Renewal</t>
  </si>
  <si>
    <t xml:space="preserve">Two 5-yr options at FMR, 12 mo. notice</t>
  </si>
  <si>
    <t xml:space="preserve">Overholding</t>
  </si>
  <si>
    <t xml:space="preserve">200% of last Basic Rent</t>
  </si>
  <si>
    <t xml:space="preserve">Insurance</t>
  </si>
  <si>
    <t xml:space="preserve">CGL ≥ $10M; E&amp;O ≥ $5M; All Risk on improvements &amp; contents</t>
  </si>
  <si>
    <t xml:space="preserve">Assignment</t>
  </si>
  <si>
    <t xml:space="preserve">Consent not required for affiliate/merger transfers; otherwise required</t>
  </si>
  <si>
    <t xml:space="preserve">Termination Right</t>
  </si>
  <si>
    <t xml:space="preserve">End of Year 7, 12 mo. notice + unamortized costs</t>
  </si>
  <si>
    <t xml:space="preserve">TENANT &amp; CONTACT</t>
  </si>
  <si>
    <t xml:space="preserve">Landlord</t>
  </si>
  <si>
    <t xml:space="preserve">Confederation Tower Holdings Inc.</t>
  </si>
  <si>
    <t xml:space="preserve">Tenant</t>
  </si>
  <si>
    <t xml:space="preserve">Meridian Legal Partners LLP ("Meridian Legal")</t>
  </si>
  <si>
    <t xml:space="preserve">Contact</t>
  </si>
  <si>
    <t xml:space="preserve">Robert Chen, Managing Partner</t>
  </si>
  <si>
    <t xml:space="preserve">Guarantor</t>
  </si>
  <si>
    <t xml:space="preserve">N/A</t>
  </si>
  <si>
    <t xml:space="preserve">Notice Address</t>
  </si>
  <si>
    <t xml:space="preserve">66 Wellington Street West, Suite 2200, Toronto (ON) M5K 1E7</t>
  </si>
  <si>
    <t xml:space="preserve">Telephone</t>
  </si>
  <si>
    <t xml:space="preserve">(416) 555-0199</t>
  </si>
  <si>
    <t xml:space="preserve">Email</t>
  </si>
  <si>
    <t xml:space="preserve">rchen@meridianlegal.ca</t>
  </si>
  <si>
    <t xml:space="preserve">Sample lease overview for illustrative purposes only — not an actual agreement.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</si>
</sst>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4F4F"/>
      <name val="Georgia"/>
      <family val="0"/>
      <charset val="1"/>
    </font>
    <font>
      <i val="true"/>
      <sz val="11"/>
      <color rgb="FF757575"/>
      <name val="Calibri"/>
      <family val="0"/>
      <charset val="1"/>
    </font>
    <font>
      <b val="true"/>
      <sz val="11"/>
      <color rgb="FFFFFFFF"/>
      <name val="Georgia"/>
      <family val="0"/>
      <charset val="1"/>
    </font>
    <font>
      <b val="true"/>
      <sz val="9.5"/>
      <color rgb="FF2E2E2E"/>
      <name val="Calibri"/>
      <family val="0"/>
      <charset val="1"/>
    </font>
    <font>
      <sz val="9.5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i val="true"/>
      <sz val="8"/>
      <color rgb="FF757575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4F4F"/>
        <bgColor rgb="FF2E2E2E"/>
      </patternFill>
    </fill>
    <fill>
      <patternFill patternType="solid">
        <fgColor rgb="FFF5F1E8"/>
        <bgColor rgb="FFFFFFFF"/>
      </patternFill>
    </fill>
    <fill>
      <patternFill patternType="solid">
        <fgColor rgb="FFC9A24B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757575"/>
      <rgbColor rgb="FF9999FF"/>
      <rgbColor rgb="FF993366"/>
      <rgbColor rgb="FFF5F1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24B"/>
      <rgbColor rgb="FF1B4F4F"/>
      <rgbColor rgb="FF339966"/>
      <rgbColor rgb="FF003300"/>
      <rgbColor rgb="FF333300"/>
      <rgbColor rgb="FF993300"/>
      <rgbColor rgb="FF993366"/>
      <rgbColor rgb="FF333399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4" min="3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s">
        <v>4</v>
      </c>
      <c r="C5" s="4" t="s">
        <v>5</v>
      </c>
      <c r="D5" s="5" t="s">
        <v>6</v>
      </c>
    </row>
    <row r="6" customFormat="false" ht="15" hidden="false" customHeight="false" outlineLevel="0" collapsed="false">
      <c r="A6" s="4" t="s">
        <v>7</v>
      </c>
      <c r="B6" s="5" t="s">
        <v>8</v>
      </c>
      <c r="C6" s="4" t="s">
        <v>9</v>
      </c>
      <c r="D6" s="5" t="s">
        <v>10</v>
      </c>
    </row>
    <row r="7" customFormat="false" ht="23.85" hidden="false" customHeight="false" outlineLevel="0" collapsed="false">
      <c r="A7" s="4" t="s">
        <v>11</v>
      </c>
      <c r="B7" s="5" t="s">
        <v>12</v>
      </c>
      <c r="C7" s="4" t="s">
        <v>13</v>
      </c>
      <c r="D7" s="5" t="s">
        <v>14</v>
      </c>
    </row>
    <row r="8" customFormat="false" ht="23.85" hidden="false" customHeight="false" outlineLevel="0" collapsed="false">
      <c r="A8" s="4" t="s">
        <v>15</v>
      </c>
      <c r="B8" s="5" t="s">
        <v>16</v>
      </c>
      <c r="C8" s="4" t="s">
        <v>17</v>
      </c>
      <c r="D8" s="5" t="s">
        <v>18</v>
      </c>
    </row>
    <row r="10" customFormat="false" ht="21.75" hidden="false" customHeight="true" outlineLevel="0" collapsed="false">
      <c r="A10" s="3" t="s">
        <v>19</v>
      </c>
      <c r="B10" s="3"/>
      <c r="C10" s="3"/>
      <c r="D10" s="3"/>
    </row>
    <row r="11" customFormat="false" ht="23.85" hidden="false" customHeight="false" outlineLevel="0" collapsed="false">
      <c r="A11" s="4" t="s">
        <v>20</v>
      </c>
      <c r="B11" s="5" t="s">
        <v>21</v>
      </c>
      <c r="C11" s="4" t="s">
        <v>22</v>
      </c>
      <c r="D11" s="5" t="s">
        <v>23</v>
      </c>
    </row>
    <row r="12" customFormat="false" ht="23.85" hidden="false" customHeight="false" outlineLevel="0" collapsed="false">
      <c r="A12" s="4" t="s">
        <v>24</v>
      </c>
      <c r="B12" s="5" t="s">
        <v>25</v>
      </c>
      <c r="C12" s="4" t="s">
        <v>26</v>
      </c>
      <c r="D12" s="5" t="s">
        <v>27</v>
      </c>
    </row>
    <row r="13" customFormat="false" ht="15" hidden="false" customHeight="false" outlineLevel="0" collapsed="false">
      <c r="A13" s="6" t="s">
        <v>28</v>
      </c>
      <c r="B13" s="6" t="s">
        <v>29</v>
      </c>
      <c r="C13" s="6" t="s">
        <v>30</v>
      </c>
      <c r="D13" s="6" t="s">
        <v>31</v>
      </c>
    </row>
    <row r="14" customFormat="false" ht="15" hidden="false" customHeight="false" outlineLevel="0" collapsed="false">
      <c r="A14" s="7" t="n">
        <v>1</v>
      </c>
      <c r="B14" s="7" t="s">
        <v>32</v>
      </c>
      <c r="C14" s="7" t="n">
        <v>42</v>
      </c>
      <c r="D14" s="8" t="n">
        <f aca="false">C14*20720</f>
        <v>870240</v>
      </c>
    </row>
    <row r="15" customFormat="false" ht="15" hidden="false" customHeight="false" outlineLevel="0" collapsed="false">
      <c r="A15" s="7" t="n">
        <v>2</v>
      </c>
      <c r="B15" s="7" t="s">
        <v>33</v>
      </c>
      <c r="C15" s="7" t="n">
        <v>43.5</v>
      </c>
      <c r="D15" s="8" t="n">
        <f aca="false">C15*20720</f>
        <v>901320</v>
      </c>
    </row>
    <row r="16" customFormat="false" ht="15" hidden="false" customHeight="false" outlineLevel="0" collapsed="false">
      <c r="A16" s="7" t="n">
        <v>3</v>
      </c>
      <c r="B16" s="7" t="s">
        <v>34</v>
      </c>
      <c r="C16" s="7" t="n">
        <v>45</v>
      </c>
      <c r="D16" s="8" t="n">
        <f aca="false">C16*20720</f>
        <v>932400</v>
      </c>
    </row>
    <row r="17" customFormat="false" ht="15" hidden="false" customHeight="false" outlineLevel="0" collapsed="false">
      <c r="A17" s="7" t="n">
        <v>4</v>
      </c>
      <c r="B17" s="7" t="s">
        <v>35</v>
      </c>
      <c r="C17" s="7" t="n">
        <v>46.5</v>
      </c>
      <c r="D17" s="8" t="n">
        <f aca="false">C17*20720</f>
        <v>963480</v>
      </c>
    </row>
    <row r="18" customFormat="false" ht="15" hidden="false" customHeight="false" outlineLevel="0" collapsed="false">
      <c r="A18" s="7" t="n">
        <v>5</v>
      </c>
      <c r="B18" s="7" t="s">
        <v>36</v>
      </c>
      <c r="C18" s="7" t="n">
        <v>48</v>
      </c>
      <c r="D18" s="8" t="n">
        <f aca="false">C18*20720</f>
        <v>994560</v>
      </c>
    </row>
    <row r="19" customFormat="false" ht="15" hidden="false" customHeight="false" outlineLevel="0" collapsed="false">
      <c r="A19" s="9" t="s">
        <v>37</v>
      </c>
      <c r="B19" s="9"/>
      <c r="C19" s="9"/>
      <c r="D19" s="9"/>
    </row>
    <row r="21" customFormat="false" ht="21.75" hidden="false" customHeight="true" outlineLevel="0" collapsed="false">
      <c r="A21" s="3" t="s">
        <v>38</v>
      </c>
      <c r="B21" s="3"/>
      <c r="C21" s="3"/>
      <c r="D21" s="3"/>
    </row>
    <row r="22" customFormat="false" ht="15" hidden="false" customHeight="false" outlineLevel="0" collapsed="false">
      <c r="A22" s="4" t="s">
        <v>39</v>
      </c>
      <c r="B22" s="5" t="s">
        <v>40</v>
      </c>
      <c r="C22" s="4" t="s">
        <v>41</v>
      </c>
      <c r="D22" s="5" t="s">
        <v>42</v>
      </c>
    </row>
    <row r="23" customFormat="false" ht="15" hidden="false" customHeight="false" outlineLevel="0" collapsed="false">
      <c r="A23" s="4" t="s">
        <v>43</v>
      </c>
      <c r="B23" s="5" t="s">
        <v>44</v>
      </c>
      <c r="C23" s="4" t="s">
        <v>45</v>
      </c>
      <c r="D23" s="5" t="s">
        <v>46</v>
      </c>
    </row>
    <row r="24" customFormat="false" ht="15" hidden="false" customHeight="true" outlineLevel="0" collapsed="false">
      <c r="A24" s="4" t="s">
        <v>47</v>
      </c>
      <c r="B24" s="5" t="s">
        <v>48</v>
      </c>
      <c r="C24" s="5"/>
      <c r="D24" s="5"/>
    </row>
    <row r="26" customFormat="false" ht="21.75" hidden="false" customHeight="true" outlineLevel="0" collapsed="false">
      <c r="A26" s="3" t="s">
        <v>49</v>
      </c>
      <c r="B26" s="3"/>
      <c r="C26" s="3"/>
      <c r="D26" s="3"/>
    </row>
    <row r="27" customFormat="false" ht="15" hidden="false" customHeight="true" outlineLevel="0" collapsed="false">
      <c r="A27" s="4" t="s">
        <v>50</v>
      </c>
      <c r="B27" s="5" t="s">
        <v>51</v>
      </c>
      <c r="C27" s="5"/>
      <c r="D27" s="5"/>
    </row>
    <row r="28" customFormat="false" ht="23.85" hidden="false" customHeight="false" outlineLevel="0" collapsed="false">
      <c r="A28" s="4" t="s">
        <v>52</v>
      </c>
      <c r="B28" s="5" t="s">
        <v>53</v>
      </c>
      <c r="C28" s="4" t="s">
        <v>54</v>
      </c>
      <c r="D28" s="5" t="s">
        <v>55</v>
      </c>
    </row>
    <row r="29" customFormat="false" ht="15" hidden="false" customHeight="true" outlineLevel="0" collapsed="false">
      <c r="A29" s="4" t="s">
        <v>56</v>
      </c>
      <c r="B29" s="5" t="s">
        <v>57</v>
      </c>
      <c r="C29" s="5"/>
      <c r="D29" s="5"/>
    </row>
    <row r="30" customFormat="false" ht="35.05" hidden="false" customHeight="false" outlineLevel="0" collapsed="false">
      <c r="A30" s="4" t="s">
        <v>58</v>
      </c>
      <c r="B30" s="5" t="s">
        <v>59</v>
      </c>
      <c r="C30" s="4" t="s">
        <v>60</v>
      </c>
      <c r="D30" s="5" t="s">
        <v>61</v>
      </c>
    </row>
    <row r="32" customFormat="false" ht="21.75" hidden="false" customHeight="true" outlineLevel="0" collapsed="false">
      <c r="A32" s="3" t="s">
        <v>62</v>
      </c>
      <c r="B32" s="3"/>
      <c r="C32" s="3"/>
      <c r="D32" s="3"/>
    </row>
    <row r="33" customFormat="false" ht="23.85" hidden="false" customHeight="false" outlineLevel="0" collapsed="false">
      <c r="A33" s="4" t="s">
        <v>63</v>
      </c>
      <c r="B33" s="5" t="s">
        <v>64</v>
      </c>
      <c r="C33" s="4" t="s">
        <v>65</v>
      </c>
      <c r="D33" s="5" t="s">
        <v>66</v>
      </c>
    </row>
    <row r="34" customFormat="false" ht="15" hidden="false" customHeight="false" outlineLevel="0" collapsed="false">
      <c r="A34" s="4" t="s">
        <v>67</v>
      </c>
      <c r="B34" s="5" t="s">
        <v>68</v>
      </c>
      <c r="C34" s="4" t="s">
        <v>69</v>
      </c>
      <c r="D34" s="5" t="s">
        <v>70</v>
      </c>
    </row>
    <row r="35" customFormat="false" ht="15" hidden="false" customHeight="true" outlineLevel="0" collapsed="false">
      <c r="A35" s="4" t="s">
        <v>71</v>
      </c>
      <c r="B35" s="5" t="s">
        <v>72</v>
      </c>
      <c r="C35" s="5"/>
      <c r="D35" s="5"/>
    </row>
    <row r="36" customFormat="false" ht="15" hidden="false" customHeight="false" outlineLevel="0" collapsed="false">
      <c r="A36" s="4" t="s">
        <v>73</v>
      </c>
      <c r="B36" s="5" t="s">
        <v>74</v>
      </c>
      <c r="C36" s="4" t="s">
        <v>75</v>
      </c>
      <c r="D36" s="5" t="s">
        <v>76</v>
      </c>
    </row>
    <row r="39" customFormat="false" ht="15" hidden="false" customHeight="false" outlineLevel="0" collapsed="false">
      <c r="A39" s="9" t="s">
        <v>77</v>
      </c>
      <c r="B39" s="9"/>
      <c r="C39" s="9"/>
      <c r="D39" s="9"/>
    </row>
  </sheetData>
  <mergeCells count="13">
    <mergeCell ref="A1:D1"/>
    <mergeCell ref="A2:D2"/>
    <mergeCell ref="A4:D4"/>
    <mergeCell ref="A10:D10"/>
    <mergeCell ref="A19:D19"/>
    <mergeCell ref="A21:D21"/>
    <mergeCell ref="B24:D24"/>
    <mergeCell ref="A26:D26"/>
    <mergeCell ref="B27:D27"/>
    <mergeCell ref="B29:D29"/>
    <mergeCell ref="A32:D32"/>
    <mergeCell ref="B35:D35"/>
    <mergeCell ref="A39:D39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2026-08-11T15:24:57Z</dcterms:created>
  <dc:creator>openpyxl</dc:creator>
  <dc:description/>
  <dc:language>en-US</dc:language>
  <cp:lastModifiedBy/>
  <dcterms:modified xsi:type="dcterms:W3CDTF">2026-08-11T15:24:57Z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